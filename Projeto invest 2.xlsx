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uario\Documents\2025\Bootcamp Excel DIO e Santander\"/>
    </mc:Choice>
  </mc:AlternateContent>
  <xr:revisionPtr revIDLastSave="0" documentId="13_ncr:1_{4E0AAF38-BB1D-48AF-A936-0EDD704FDAAC}" xr6:coauthVersionLast="47" xr6:coauthVersionMax="47" xr10:uidLastSave="{00000000-0000-0000-0000-000000000000}"/>
  <bookViews>
    <workbookView xWindow="20370" yWindow="-120" windowWidth="29040" windowHeight="15840" tabRatio="345" xr2:uid="{D63472A4-8300-4934-9C87-0EC792DCF89D}"/>
  </bookViews>
  <sheets>
    <sheet name="APP" sheetId="1" r:id="rId1"/>
    <sheet name="Planilha2" sheetId="2" r:id="rId2"/>
  </sheets>
  <definedNames>
    <definedName name="_xlchart.v1.0" hidden="1">APP!$B$36:$B$41</definedName>
    <definedName name="_xlchart.v1.1" hidden="1">APP!$C$36:$C$41</definedName>
    <definedName name="_xlchart.v1.10" hidden="1">APP!$C$35</definedName>
    <definedName name="_xlchart.v1.11" hidden="1">APP!$C$36:$C$41</definedName>
    <definedName name="_xlchart.v1.2" hidden="1">APP!$D$36:$D$41</definedName>
    <definedName name="_xlchart.v1.3" hidden="1">APP!$B$36:$B$41</definedName>
    <definedName name="_xlchart.v1.4" hidden="1">APP!$C$35</definedName>
    <definedName name="_xlchart.v1.5" hidden="1">APP!$C$36:$C$41</definedName>
    <definedName name="_xlchart.v1.6" hidden="1">APP!$B$36:$B$41</definedName>
    <definedName name="_xlchart.v1.7" hidden="1">APP!$C$36:$C$41</definedName>
    <definedName name="_xlchart.v1.8" hidden="1">APP!$D$36:$D$41</definedName>
    <definedName name="_xlchart.v1.9" hidden="1">APP!$B$36:$B$41</definedName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14" i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<sst xmlns="http://schemas.openxmlformats.org/spreadsheetml/2006/main" count="71" uniqueCount="34">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</sst>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D-4E99-AB95-E023C976A3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12399"/>
        <c:axId val="11512815"/>
      </c:barChart>
      <c:catAx>
        <c:axId val="1151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2815"/>
        <c:crosses val="autoZero"/>
        <c:auto val="1"/>
        <c:lblAlgn val="ctr"/>
        <c:lblOffset val="100"/>
        <c:noMultiLvlLbl val="0"/>
      </c:catAx>
      <c:valAx>
        <c:axId val="1151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1855</xdr:rowOff>
    </xdr:from>
    <xdr:to>
      <xdr:col>4</xdr:col>
      <xdr:colOff>255751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148070</xdr:rowOff>
    </xdr:from>
    <xdr:to>
      <xdr:col>3</xdr:col>
      <xdr:colOff>1082387</xdr:colOff>
      <xdr:row>59</xdr:row>
      <xdr:rowOff>163656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436D48-3EA9-41F6-8506-EAD5BB6D9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78"/>
  <sheetViews>
    <sheetView showGridLines="0" tabSelected="1" topLeftCell="A22" zoomScale="110" zoomScaleNormal="110" workbookViewId="0">
      <selection activeCell="G39" sqref="G39"/>
    </sheetView>
  </sheetViews>
  <sheetFormatPr defaultColWidth="0" defaultRowHeight="14.25"/>
  <cols>
    <col min="1" max="1" width="5.5" customWidth="1"/>
    <col min="2" max="2" width="46.875" customWidth="1"/>
    <col min="3" max="3" width="18.125" customWidth="1"/>
    <col min="4" max="4" width="15" customWidth="1"/>
    <col min="5" max="8" width="3.5" customWidth="1"/>
    <col min="9" max="16384" width="8.75" hidden="1"/>
  </cols>
  <sheetData>
    <row r="10" spans="2:4" ht="15" thickBot="1"/>
    <row r="11" spans="2:4" ht="26.25">
      <c r="B11" s="5" t="s">
        <v>15</v>
      </c>
      <c r="C11" s="6"/>
      <c r="D11" s="7"/>
    </row>
    <row r="12" spans="2:4" ht="17.25">
      <c r="B12" s="43" t="s">
        <v>14</v>
      </c>
      <c r="C12" s="44"/>
      <c r="D12" s="23">
        <v>2000</v>
      </c>
    </row>
    <row r="13" spans="2:4" ht="17.25">
      <c r="B13" s="45" t="s">
        <v>13</v>
      </c>
      <c r="C13" s="46"/>
      <c r="D13" s="24">
        <v>6.0000000000000001E-3</v>
      </c>
    </row>
    <row r="14" spans="2:4" ht="18" thickBot="1">
      <c r="B14" s="52" t="s">
        <v>33</v>
      </c>
      <c r="C14" s="53"/>
      <c r="D14" s="25">
        <f>D12*30%</f>
        <v>600</v>
      </c>
    </row>
    <row r="15" spans="2:4" ht="15" thickBot="1"/>
    <row r="16" spans="2:4" ht="28.5" customHeight="1">
      <c r="B16" s="49" t="s">
        <v>5</v>
      </c>
      <c r="C16" s="50"/>
      <c r="D16" s="51"/>
    </row>
    <row r="17" spans="1:6" ht="17.25">
      <c r="B17" s="43" t="s">
        <v>0</v>
      </c>
      <c r="C17" s="44"/>
      <c r="D17" s="18">
        <v>200</v>
      </c>
    </row>
    <row r="18" spans="1:6" ht="17.25">
      <c r="B18" s="45" t="s">
        <v>1</v>
      </c>
      <c r="C18" s="46"/>
      <c r="D18" s="19">
        <v>5</v>
      </c>
    </row>
    <row r="19" spans="1:6" ht="17.25">
      <c r="B19" s="45" t="s">
        <v>2</v>
      </c>
      <c r="C19" s="46"/>
      <c r="D19" s="20">
        <v>1.0789999999999999E-2</v>
      </c>
    </row>
    <row r="20" spans="1:6" ht="17.25">
      <c r="B20" s="54" t="s">
        <v>3</v>
      </c>
      <c r="C20" s="55"/>
      <c r="D20" s="21">
        <f>FV(taxa_mensal,qtd_anos*12,aporte*-1)</f>
        <v>16755.382799697527</v>
      </c>
    </row>
    <row r="21" spans="1:6" ht="18" thickBot="1">
      <c r="B21" s="47" t="s">
        <v>4</v>
      </c>
      <c r="C21" s="48"/>
      <c r="D21" s="22">
        <f>patrimonio*rendimento_carteira</f>
        <v>100.53229679818516</v>
      </c>
      <c r="F21" s="3"/>
    </row>
    <row r="22" spans="1:6" ht="15" thickBot="1"/>
    <row r="23" spans="1:6" ht="30.75">
      <c r="B23" s="49" t="s">
        <v>11</v>
      </c>
      <c r="C23" s="50"/>
      <c r="D23" s="8" t="s">
        <v>12</v>
      </c>
    </row>
    <row r="24" spans="1:6" ht="17.25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 ht="15">
      <c r="B33" s="28" t="s">
        <v>19</v>
      </c>
      <c r="C33" s="29">
        <f>aporte</f>
        <v>200</v>
      </c>
      <c r="D33" s="28"/>
    </row>
    <row r="35" spans="2:4" ht="15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ht="15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25"/>
  <cols>
    <col min="1" max="1" width="29.125" bestFit="1" customWidth="1"/>
    <col min="2" max="2" width="11.5" bestFit="1" customWidth="1"/>
    <col min="3" max="3" width="17.75" bestFit="1" customWidth="1"/>
    <col min="7" max="7" width="15.37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usuario</cp:lastModifiedBy>
  <dcterms:created xsi:type="dcterms:W3CDTF">2025-04-16T18:38:03Z</dcterms:created>
  <dcterms:modified xsi:type="dcterms:W3CDTF">2025-05-21T01:25:24Z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